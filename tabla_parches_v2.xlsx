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azuk\Documents\Universidad\Proyectos\Parches_corales\"/>
    </mc:Choice>
  </mc:AlternateContent>
  <xr:revisionPtr revIDLastSave="0" documentId="13_ncr:1_{FB58ACBC-90A5-443B-837D-77CA260A5C98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Categoria-Subcategoria" sheetId="1" r:id="rId1"/>
    <sheet name="Condicion" sheetId="2" r:id="rId2"/>
  </sheets>
  <calcPr calcId="191029"/>
</workbook>
</file>

<file path=xl/calcChain.xml><?xml version="1.0" encoding="utf-8"?>
<calcChain xmlns="http://schemas.openxmlformats.org/spreadsheetml/2006/main">
  <c r="E5" i="2" l="1"/>
  <c r="E4" i="2"/>
  <c r="E3" i="2"/>
  <c r="E2" i="2"/>
  <c r="B24" i="1"/>
  <c r="B23" i="1"/>
  <c r="B22" i="1"/>
  <c r="B17" i="1"/>
  <c r="B15" i="1"/>
  <c r="B14" i="1"/>
  <c r="D13" i="1"/>
  <c r="D12" i="1"/>
  <c r="D11" i="1"/>
  <c r="D10" i="1"/>
  <c r="D9" i="1"/>
  <c r="D8" i="1"/>
  <c r="D7" i="1"/>
  <c r="D6" i="1"/>
  <c r="B2" i="1"/>
  <c r="B6" i="1" l="1"/>
</calcChain>
</file>

<file path=xl/sharedStrings.xml><?xml version="1.0" encoding="utf-8"?>
<sst xmlns="http://schemas.openxmlformats.org/spreadsheetml/2006/main" count="149" uniqueCount="69">
  <si>
    <t>Categoría</t>
  </si>
  <si>
    <t>Total categoría</t>
  </si>
  <si>
    <t>Subcategoría</t>
  </si>
  <si>
    <t>SANO</t>
  </si>
  <si>
    <t>BLANQ</t>
  </si>
  <si>
    <t>DCOR</t>
  </si>
  <si>
    <t>FLUO</t>
  </si>
  <si>
    <t>Sin condición</t>
  </si>
  <si>
    <t>Total subcategoría</t>
  </si>
  <si>
    <t>Observaciones</t>
  </si>
  <si>
    <t>ALGAS (ALG)</t>
  </si>
  <si>
    <t>Calcáreas erectas (CALG)</t>
  </si>
  <si>
    <t>—</t>
  </si>
  <si>
    <t>Calcáreas incrustantes (EALG)</t>
  </si>
  <si>
    <t>Frondosas / macroalgas (&gt;1cm) (FALG)</t>
  </si>
  <si>
    <t>Tapetes (frondosa o filamentosa, &lt;1cm) (TALG)</t>
  </si>
  <si>
    <t>CORAL (CORAL)</t>
  </si>
  <si>
    <t>Coral no identificado (NCOR)</t>
  </si>
  <si>
    <t>Pavona clavus (PCLA)</t>
  </si>
  <si>
    <t>Pavona gigantea (PGIG)</t>
  </si>
  <si>
    <t>Pavona varians (PVAR)</t>
  </si>
  <si>
    <t>Pocillopora grandis (PGRA)</t>
  </si>
  <si>
    <t>Pocillopora spp. (PCSP)</t>
  </si>
  <si>
    <t>Porites spp. (PRSP)</t>
  </si>
  <si>
    <t>Psammocora stellata (PSTE)</t>
  </si>
  <si>
    <t>ESPONJAS (SPON)</t>
  </si>
  <si>
    <t>Incrustantes (ENSP)</t>
  </si>
  <si>
    <t>OTROS_ORGANISMOS (OTROS)</t>
  </si>
  <si>
    <t>Otros invertebrados (OTIN)</t>
  </si>
  <si>
    <t>Peces (PEZ)</t>
  </si>
  <si>
    <t>SUSTRATO_INERTE (SINERTE)</t>
  </si>
  <si>
    <t>Cascajos / rubble / escombros (RUBB)</t>
  </si>
  <si>
    <t>Clastos — cantos/guijarros fusionados (CLASTOS)*</t>
  </si>
  <si>
    <t>CLASTOS no es un código oficial del esquema v3; es la fusión de BOUL+COBB+PEBB que se agregó en batch_crop_and_label_from_excel.py. cobertura_codes_v3.json conserva los 3 originales por separado.</t>
  </si>
  <si>
    <t>Materia orgánica (DORG)</t>
  </si>
  <si>
    <t>Roca (ROCK)</t>
  </si>
  <si>
    <t>Sedimento libre (SAND)</t>
  </si>
  <si>
    <t>NO_IDENTIFICADO (NI)</t>
  </si>
  <si>
    <t>(sin subcategoría)</t>
  </si>
  <si>
    <t>TAPE (TAPE)</t>
  </si>
  <si>
    <t>UNKNOWN**</t>
  </si>
  <si>
    <t>UNKNOWN no es parte del esquema de cobertura; es el valor de respaldo del pipeline para filas del Excel sin ninguna anotación (categoría/subcategoría/ID vacíos).</t>
  </si>
  <si>
    <t>Código</t>
  </si>
  <si>
    <t>Nombre (ES)</t>
  </si>
  <si>
    <t>Nombre (EN)</t>
  </si>
  <si>
    <t>Descripción</t>
  </si>
  <si>
    <t>Total parches (con datos)</t>
  </si>
  <si>
    <t>Coral sano</t>
  </si>
  <si>
    <t>Healthy coral</t>
  </si>
  <si>
    <t>Sin signos de enfermedad ni blanqueamiento (incluye corales pálidos que no califican como blanqueados)</t>
  </si>
  <si>
    <t>BLAN (alias BLANQ)</t>
  </si>
  <si>
    <t>Coral blanqueado</t>
  </si>
  <si>
    <t>Bleached coral</t>
  </si>
  <si>
    <t>Apariencia blanca por pérdida de zooxantelas; en corales ramificados, las puntas blancas deben extenderse &gt;2cm para contar como blanqueamiento</t>
  </si>
  <si>
    <t>Coral recién muerto</t>
  </si>
  <si>
    <t>Recently dead coral</t>
  </si>
  <si>
    <t>Sin algas ni pólipos</t>
  </si>
  <si>
    <t>Fluorescencia</t>
  </si>
  <si>
    <t>Fluorescent bleaching</t>
  </si>
  <si>
    <t>Pigmentación rosada por actividad de proteína fluorescente</t>
  </si>
  <si>
    <t>SICK (alias ENFER)</t>
  </si>
  <si>
    <t>Coral enfermo</t>
  </si>
  <si>
    <t>Sick coral</t>
  </si>
  <si>
    <t>Síntomas de enfermedad (p.ej. banda negra o banda blanca)</t>
  </si>
  <si>
    <t>0 (sin parches anotados)</t>
  </si>
  <si>
    <t>OTRO</t>
  </si>
  <si>
    <t>Otro</t>
  </si>
  <si>
    <t>Other</t>
  </si>
  <si>
    <t>Cualquier rasgo no cubierto por las categorías anteriores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</si>
</sst>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rgb="FFFFFFFF"/>
      <name val="Arial"/>
    </font>
    <font>
      <sz val="11"/>
      <name val="Arial"/>
    </font>
    <font>
      <sz val="11"/>
      <color rgb="FF808080"/>
      <name val="Arial"/>
    </font>
    <font>
      <b/>
      <sz val="11"/>
      <name val="Arial"/>
    </font>
    <font>
      <i/>
      <sz val="10"/>
      <name val="Arial"/>
    </font>
    <font>
      <sz val="10"/>
      <color rgb="FFC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center" vertical="center"/>
    </xf>
    <xf numFmtId="0" fontId="0" fillId="3" borderId="12" xfId="0" applyFill="1" applyBorder="1"/>
    <xf numFmtId="0" fontId="3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/>
    </xf>
    <xf numFmtId="3" fontId="3" fillId="3" borderId="3" xfId="0" applyNumberFormat="1" applyFont="1" applyFill="1" applyBorder="1" applyAlignment="1">
      <alignment horizontal="center" vertical="center"/>
    </xf>
    <xf numFmtId="0" fontId="0" fillId="3" borderId="13" xfId="0" applyFill="1" applyBorder="1"/>
    <xf numFmtId="0" fontId="5" fillId="4" borderId="7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left" vertical="center" wrapText="1"/>
    </xf>
    <xf numFmtId="0" fontId="0" fillId="4" borderId="12" xfId="0" applyFill="1" applyBorder="1"/>
    <xf numFmtId="0" fontId="3" fillId="4" borderId="3" xfId="0" applyFont="1" applyFill="1" applyBorder="1" applyAlignment="1">
      <alignment horizontal="left" vertical="center" wrapText="1"/>
    </xf>
    <xf numFmtId="3" fontId="3" fillId="4" borderId="3" xfId="0" applyNumberFormat="1" applyFont="1" applyFill="1" applyBorder="1" applyAlignment="1">
      <alignment horizontal="center" vertical="center"/>
    </xf>
    <xf numFmtId="0" fontId="0" fillId="4" borderId="13" xfId="0" applyFill="1" applyBorder="1"/>
    <xf numFmtId="0" fontId="5" fillId="3" borderId="10" xfId="0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left" vertical="center" wrapText="1"/>
    </xf>
    <xf numFmtId="0" fontId="5" fillId="4" borderId="10" xfId="0" applyFont="1" applyFill="1" applyBorder="1" applyAlignment="1">
      <alignment horizontal="center" vertical="center"/>
    </xf>
    <xf numFmtId="3" fontId="5" fillId="4" borderId="3" xfId="0" applyNumberFormat="1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3" fontId="3" fillId="3" borderId="1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3" fontId="3" fillId="4" borderId="12" xfId="0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3" fontId="5" fillId="3" borderId="2" xfId="0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5" fillId="4" borderId="7" xfId="0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selection activeCell="B1" sqref="B1"/>
    </sheetView>
  </sheetViews>
  <sheetFormatPr baseColWidth="10" defaultRowHeight="15" x14ac:dyDescent="0.25"/>
  <cols>
    <col min="1" max="1" width="35.28515625" bestFit="1" customWidth="1"/>
    <col min="2" max="2" width="16.28515625" bestFit="1" customWidth="1"/>
    <col min="3" max="3" width="32.140625" bestFit="1" customWidth="1"/>
    <col min="4" max="4" width="22.42578125" customWidth="1"/>
    <col min="5" max="5" width="27.140625" bestFit="1" customWidth="1"/>
    <col min="6" max="6" width="27.140625" customWidth="1"/>
    <col min="7" max="8" width="9.42578125" customWidth="1"/>
    <col min="9" max="9" width="12.42578125" customWidth="1"/>
    <col min="10" max="10" width="43.28515625" customWidth="1"/>
  </cols>
  <sheetData>
    <row r="1" spans="1:10" ht="15.75" customHeight="1" thickBot="1" x14ac:dyDescent="0.3">
      <c r="A1" s="1" t="s">
        <v>0</v>
      </c>
      <c r="B1" s="2" t="s">
        <v>1</v>
      </c>
      <c r="C1" s="2" t="s">
        <v>2</v>
      </c>
      <c r="D1" s="2" t="s">
        <v>8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9</v>
      </c>
    </row>
    <row r="2" spans="1:10" x14ac:dyDescent="0.25">
      <c r="A2" s="39" t="s">
        <v>10</v>
      </c>
      <c r="B2" s="42">
        <f>SUM(D2:D5)</f>
        <v>22981</v>
      </c>
      <c r="C2" s="5" t="s">
        <v>11</v>
      </c>
      <c r="D2" s="7">
        <v>144</v>
      </c>
      <c r="E2" s="6" t="s">
        <v>12</v>
      </c>
      <c r="F2" s="6" t="s">
        <v>12</v>
      </c>
      <c r="G2" s="6" t="s">
        <v>12</v>
      </c>
      <c r="H2" s="6" t="s">
        <v>12</v>
      </c>
      <c r="I2" s="6" t="s">
        <v>12</v>
      </c>
      <c r="J2" s="8"/>
    </row>
    <row r="3" spans="1:10" x14ac:dyDescent="0.25">
      <c r="A3" s="40"/>
      <c r="B3" s="43"/>
      <c r="C3" s="5" t="s">
        <v>13</v>
      </c>
      <c r="D3" s="7">
        <v>4860</v>
      </c>
      <c r="E3" s="6" t="s">
        <v>12</v>
      </c>
      <c r="F3" s="6" t="s">
        <v>12</v>
      </c>
      <c r="G3" s="6" t="s">
        <v>12</v>
      </c>
      <c r="H3" s="6" t="s">
        <v>12</v>
      </c>
      <c r="I3" s="6" t="s">
        <v>12</v>
      </c>
      <c r="J3" s="8"/>
    </row>
    <row r="4" spans="1:10" ht="28.5" customHeight="1" x14ac:dyDescent="0.25">
      <c r="A4" s="40"/>
      <c r="B4" s="43"/>
      <c r="C4" s="5" t="s">
        <v>14</v>
      </c>
      <c r="D4" s="7">
        <v>56</v>
      </c>
      <c r="E4" s="6" t="s">
        <v>12</v>
      </c>
      <c r="F4" s="6" t="s">
        <v>12</v>
      </c>
      <c r="G4" s="6" t="s">
        <v>12</v>
      </c>
      <c r="H4" s="6" t="s">
        <v>12</v>
      </c>
      <c r="I4" s="6" t="s">
        <v>12</v>
      </c>
      <c r="J4" s="8"/>
    </row>
    <row r="5" spans="1:10" ht="29.25" customHeight="1" thickBot="1" x14ac:dyDescent="0.3">
      <c r="A5" s="41"/>
      <c r="B5" s="44"/>
      <c r="C5" s="9" t="s">
        <v>15</v>
      </c>
      <c r="D5" s="11">
        <v>17921</v>
      </c>
      <c r="E5" s="10" t="s">
        <v>12</v>
      </c>
      <c r="F5" s="10" t="s">
        <v>12</v>
      </c>
      <c r="G5" s="10" t="s">
        <v>12</v>
      </c>
      <c r="H5" s="10" t="s">
        <v>12</v>
      </c>
      <c r="I5" s="10" t="s">
        <v>12</v>
      </c>
      <c r="J5" s="12"/>
    </row>
    <row r="6" spans="1:10" x14ac:dyDescent="0.25">
      <c r="A6" s="45" t="s">
        <v>16</v>
      </c>
      <c r="B6" s="46">
        <f>SUM(D6:D13)</f>
        <v>30266</v>
      </c>
      <c r="C6" s="14" t="s">
        <v>17</v>
      </c>
      <c r="D6" s="15">
        <f>SUM(E6:I6)</f>
        <v>2</v>
      </c>
      <c r="E6" s="15">
        <v>0</v>
      </c>
      <c r="F6" s="15">
        <v>0</v>
      </c>
      <c r="G6" s="15">
        <v>0</v>
      </c>
      <c r="H6" s="15">
        <v>0</v>
      </c>
      <c r="I6" s="15">
        <v>2</v>
      </c>
      <c r="J6" s="16"/>
    </row>
    <row r="7" spans="1:10" x14ac:dyDescent="0.25">
      <c r="A7" s="40"/>
      <c r="B7" s="43"/>
      <c r="C7" s="14" t="s">
        <v>18</v>
      </c>
      <c r="D7" s="15">
        <f>SUM(E7:I7)</f>
        <v>343</v>
      </c>
      <c r="E7" s="15">
        <v>316</v>
      </c>
      <c r="F7" s="15">
        <v>25</v>
      </c>
      <c r="G7" s="15">
        <v>0</v>
      </c>
      <c r="H7" s="15">
        <v>0</v>
      </c>
      <c r="I7" s="15">
        <v>2</v>
      </c>
      <c r="J7" s="17"/>
    </row>
    <row r="8" spans="1:10" x14ac:dyDescent="0.25">
      <c r="A8" s="40"/>
      <c r="B8" s="43"/>
      <c r="C8" s="14" t="s">
        <v>19</v>
      </c>
      <c r="D8" s="15">
        <f>SUM(E8:I8)</f>
        <v>51</v>
      </c>
      <c r="E8" s="15">
        <v>46</v>
      </c>
      <c r="F8" s="15">
        <v>5</v>
      </c>
      <c r="G8" s="15">
        <v>0</v>
      </c>
      <c r="H8" s="15">
        <v>0</v>
      </c>
      <c r="I8" s="15">
        <v>0</v>
      </c>
      <c r="J8" s="17"/>
    </row>
    <row r="9" spans="1:10" x14ac:dyDescent="0.25">
      <c r="A9" s="40"/>
      <c r="B9" s="43"/>
      <c r="C9" s="14" t="s">
        <v>20</v>
      </c>
      <c r="D9" s="15">
        <f>SUM(E9:I9)</f>
        <v>6</v>
      </c>
      <c r="E9" s="15">
        <v>6</v>
      </c>
      <c r="F9" s="15">
        <v>0</v>
      </c>
      <c r="G9" s="15">
        <v>0</v>
      </c>
      <c r="H9" s="15">
        <v>0</v>
      </c>
      <c r="I9" s="15">
        <v>0</v>
      </c>
      <c r="J9" s="17"/>
    </row>
    <row r="10" spans="1:10" x14ac:dyDescent="0.25">
      <c r="A10" s="40"/>
      <c r="B10" s="43"/>
      <c r="C10" s="14" t="s">
        <v>21</v>
      </c>
      <c r="D10" s="15">
        <f>SUM(E10:I10)</f>
        <v>154</v>
      </c>
      <c r="E10" s="15">
        <v>143</v>
      </c>
      <c r="F10" s="15">
        <v>11</v>
      </c>
      <c r="G10" s="15">
        <v>0</v>
      </c>
      <c r="H10" s="15">
        <v>0</v>
      </c>
      <c r="I10" s="15">
        <v>0</v>
      </c>
      <c r="J10" s="17"/>
    </row>
    <row r="11" spans="1:10" x14ac:dyDescent="0.25">
      <c r="A11" s="40"/>
      <c r="B11" s="43"/>
      <c r="C11" s="14" t="s">
        <v>22</v>
      </c>
      <c r="D11" s="15">
        <f>SUM(E11:I11)</f>
        <v>29097</v>
      </c>
      <c r="E11" s="15">
        <v>27541</v>
      </c>
      <c r="F11" s="15">
        <v>1454</v>
      </c>
      <c r="G11" s="15">
        <v>83</v>
      </c>
      <c r="H11" s="15">
        <v>12</v>
      </c>
      <c r="I11" s="15">
        <v>7</v>
      </c>
      <c r="J11" s="17"/>
    </row>
    <row r="12" spans="1:10" x14ac:dyDescent="0.25">
      <c r="A12" s="40"/>
      <c r="B12" s="43"/>
      <c r="C12" s="14" t="s">
        <v>23</v>
      </c>
      <c r="D12" s="15">
        <f>SUM(E12:I12)</f>
        <v>7</v>
      </c>
      <c r="E12" s="15">
        <v>3</v>
      </c>
      <c r="F12" s="15">
        <v>4</v>
      </c>
      <c r="G12" s="15">
        <v>0</v>
      </c>
      <c r="H12" s="15">
        <v>0</v>
      </c>
      <c r="I12" s="15">
        <v>0</v>
      </c>
      <c r="J12" s="17"/>
    </row>
    <row r="13" spans="1:10" ht="15.75" customHeight="1" thickBot="1" x14ac:dyDescent="0.3">
      <c r="A13" s="41"/>
      <c r="B13" s="44"/>
      <c r="C13" s="18" t="s">
        <v>24</v>
      </c>
      <c r="D13" s="19">
        <f>SUM(E13:I13)</f>
        <v>606</v>
      </c>
      <c r="E13" s="19">
        <v>558</v>
      </c>
      <c r="F13" s="19">
        <v>47</v>
      </c>
      <c r="G13" s="19">
        <v>0</v>
      </c>
      <c r="H13" s="19">
        <v>0</v>
      </c>
      <c r="I13" s="19">
        <v>1</v>
      </c>
      <c r="J13" s="20"/>
    </row>
    <row r="14" spans="1:10" ht="15.75" customHeight="1" thickBot="1" x14ac:dyDescent="0.3">
      <c r="A14" s="21" t="s">
        <v>25</v>
      </c>
      <c r="B14" s="22">
        <f>SUM(D14:D14)</f>
        <v>16</v>
      </c>
      <c r="C14" s="9" t="s">
        <v>26</v>
      </c>
      <c r="D14" s="11">
        <v>16</v>
      </c>
      <c r="E14" s="10" t="s">
        <v>12</v>
      </c>
      <c r="F14" s="10" t="s">
        <v>12</v>
      </c>
      <c r="G14" s="10" t="s">
        <v>12</v>
      </c>
      <c r="H14" s="10" t="s">
        <v>12</v>
      </c>
      <c r="I14" s="10" t="s">
        <v>12</v>
      </c>
      <c r="J14" s="12"/>
    </row>
    <row r="15" spans="1:10" x14ac:dyDescent="0.25">
      <c r="A15" s="45" t="s">
        <v>27</v>
      </c>
      <c r="B15" s="46">
        <f>SUM(D15:D16)</f>
        <v>53</v>
      </c>
      <c r="C15" s="14" t="s">
        <v>28</v>
      </c>
      <c r="D15" s="15">
        <v>41</v>
      </c>
      <c r="E15" s="23" t="s">
        <v>12</v>
      </c>
      <c r="F15" s="23" t="s">
        <v>12</v>
      </c>
      <c r="G15" s="23" t="s">
        <v>12</v>
      </c>
      <c r="H15" s="23" t="s">
        <v>12</v>
      </c>
      <c r="I15" s="23" t="s">
        <v>12</v>
      </c>
      <c r="J15" s="17"/>
    </row>
    <row r="16" spans="1:10" ht="15.75" customHeight="1" thickBot="1" x14ac:dyDescent="0.3">
      <c r="A16" s="41"/>
      <c r="B16" s="44"/>
      <c r="C16" s="18" t="s">
        <v>29</v>
      </c>
      <c r="D16" s="19">
        <v>12</v>
      </c>
      <c r="E16" s="24" t="s">
        <v>12</v>
      </c>
      <c r="F16" s="24" t="s">
        <v>12</v>
      </c>
      <c r="G16" s="24" t="s">
        <v>12</v>
      </c>
      <c r="H16" s="24" t="s">
        <v>12</v>
      </c>
      <c r="I16" s="24" t="s">
        <v>12</v>
      </c>
      <c r="J16" s="20"/>
    </row>
    <row r="17" spans="1:10" ht="28.5" customHeight="1" x14ac:dyDescent="0.25">
      <c r="A17" s="39" t="s">
        <v>30</v>
      </c>
      <c r="B17" s="42">
        <f>SUM(D17:D21)</f>
        <v>1967</v>
      </c>
      <c r="C17" s="5" t="s">
        <v>31</v>
      </c>
      <c r="D17" s="7">
        <v>165</v>
      </c>
      <c r="E17" s="6" t="s">
        <v>12</v>
      </c>
      <c r="F17" s="6" t="s">
        <v>12</v>
      </c>
      <c r="G17" s="6" t="s">
        <v>12</v>
      </c>
      <c r="H17" s="6" t="s">
        <v>12</v>
      </c>
      <c r="I17" s="6" t="s">
        <v>12</v>
      </c>
      <c r="J17" s="8"/>
    </row>
    <row r="18" spans="1:10" ht="76.5" customHeight="1" x14ac:dyDescent="0.25">
      <c r="A18" s="40"/>
      <c r="B18" s="43"/>
      <c r="C18" s="5" t="s">
        <v>32</v>
      </c>
      <c r="D18" s="7">
        <v>46</v>
      </c>
      <c r="E18" s="6" t="s">
        <v>12</v>
      </c>
      <c r="F18" s="6" t="s">
        <v>12</v>
      </c>
      <c r="G18" s="6" t="s">
        <v>12</v>
      </c>
      <c r="H18" s="6" t="s">
        <v>12</v>
      </c>
      <c r="I18" s="6" t="s">
        <v>12</v>
      </c>
      <c r="J18" s="25" t="s">
        <v>33</v>
      </c>
    </row>
    <row r="19" spans="1:10" x14ac:dyDescent="0.25">
      <c r="A19" s="40"/>
      <c r="B19" s="43"/>
      <c r="C19" s="5" t="s">
        <v>34</v>
      </c>
      <c r="D19" s="7">
        <v>8</v>
      </c>
      <c r="E19" s="6" t="s">
        <v>12</v>
      </c>
      <c r="F19" s="6" t="s">
        <v>12</v>
      </c>
      <c r="G19" s="6" t="s">
        <v>12</v>
      </c>
      <c r="H19" s="6" t="s">
        <v>12</v>
      </c>
      <c r="I19" s="6" t="s">
        <v>12</v>
      </c>
      <c r="J19" s="8"/>
    </row>
    <row r="20" spans="1:10" x14ac:dyDescent="0.25">
      <c r="A20" s="40"/>
      <c r="B20" s="43"/>
      <c r="C20" s="5" t="s">
        <v>35</v>
      </c>
      <c r="D20" s="7">
        <v>509</v>
      </c>
      <c r="E20" s="6" t="s">
        <v>12</v>
      </c>
      <c r="F20" s="6" t="s">
        <v>12</v>
      </c>
      <c r="G20" s="6" t="s">
        <v>12</v>
      </c>
      <c r="H20" s="6" t="s">
        <v>12</v>
      </c>
      <c r="I20" s="6" t="s">
        <v>12</v>
      </c>
      <c r="J20" s="8"/>
    </row>
    <row r="21" spans="1:10" ht="15.75" customHeight="1" thickBot="1" x14ac:dyDescent="0.3">
      <c r="A21" s="41"/>
      <c r="B21" s="44"/>
      <c r="C21" s="9" t="s">
        <v>36</v>
      </c>
      <c r="D21" s="11">
        <v>1239</v>
      </c>
      <c r="E21" s="10" t="s">
        <v>12</v>
      </c>
      <c r="F21" s="10" t="s">
        <v>12</v>
      </c>
      <c r="G21" s="10" t="s">
        <v>12</v>
      </c>
      <c r="H21" s="10" t="s">
        <v>12</v>
      </c>
      <c r="I21" s="10" t="s">
        <v>12</v>
      </c>
      <c r="J21" s="12"/>
    </row>
    <row r="22" spans="1:10" ht="15.75" customHeight="1" thickBot="1" x14ac:dyDescent="0.3">
      <c r="A22" s="26" t="s">
        <v>37</v>
      </c>
      <c r="B22" s="27">
        <f>SUM(D22:D22)</f>
        <v>1214</v>
      </c>
      <c r="C22" s="18" t="s">
        <v>38</v>
      </c>
      <c r="D22" s="19">
        <v>1214</v>
      </c>
      <c r="E22" s="24" t="s">
        <v>12</v>
      </c>
      <c r="F22" s="24" t="s">
        <v>12</v>
      </c>
      <c r="G22" s="24" t="s">
        <v>12</v>
      </c>
      <c r="H22" s="24" t="s">
        <v>12</v>
      </c>
      <c r="I22" s="24" t="s">
        <v>12</v>
      </c>
      <c r="J22" s="20"/>
    </row>
    <row r="23" spans="1:10" ht="15.75" customHeight="1" thickBot="1" x14ac:dyDescent="0.3">
      <c r="A23" s="21" t="s">
        <v>39</v>
      </c>
      <c r="B23" s="22">
        <f>SUM(D23:D23)</f>
        <v>545</v>
      </c>
      <c r="C23" s="9" t="s">
        <v>38</v>
      </c>
      <c r="D23" s="11">
        <v>545</v>
      </c>
      <c r="E23" s="10" t="s">
        <v>12</v>
      </c>
      <c r="F23" s="10" t="s">
        <v>12</v>
      </c>
      <c r="G23" s="10" t="s">
        <v>12</v>
      </c>
      <c r="H23" s="10" t="s">
        <v>12</v>
      </c>
      <c r="I23" s="10" t="s">
        <v>12</v>
      </c>
      <c r="J23" s="12"/>
    </row>
    <row r="24" spans="1:10" ht="51.75" customHeight="1" thickBot="1" x14ac:dyDescent="0.3">
      <c r="A24" s="26" t="s">
        <v>40</v>
      </c>
      <c r="B24" s="27">
        <f>SUM(D24:D24)</f>
        <v>58</v>
      </c>
      <c r="C24" s="18" t="s">
        <v>38</v>
      </c>
      <c r="D24" s="19">
        <v>58</v>
      </c>
      <c r="E24" s="24" t="s">
        <v>12</v>
      </c>
      <c r="F24" s="24" t="s">
        <v>12</v>
      </c>
      <c r="G24" s="24" t="s">
        <v>12</v>
      </c>
      <c r="H24" s="24" t="s">
        <v>12</v>
      </c>
      <c r="I24" s="24" t="s">
        <v>12</v>
      </c>
      <c r="J24" s="28" t="s">
        <v>41</v>
      </c>
    </row>
    <row r="29" spans="1:10" ht="114" customHeight="1" x14ac:dyDescent="0.25"/>
    <row r="30" spans="1:10" ht="185.25" customHeight="1" x14ac:dyDescent="0.25"/>
    <row r="31" spans="1:10" ht="28.5" customHeight="1" x14ac:dyDescent="0.25"/>
    <row r="32" spans="1:10" ht="71.25" customHeight="1" x14ac:dyDescent="0.25"/>
    <row r="33" ht="71.25" customHeight="1" x14ac:dyDescent="0.25"/>
    <row r="34" ht="71.25" customHeight="1" x14ac:dyDescent="0.25"/>
  </sheetData>
  <mergeCells count="8">
    <mergeCell ref="A17:A21"/>
    <mergeCell ref="B17:B21"/>
    <mergeCell ref="A2:A5"/>
    <mergeCell ref="A15:A16"/>
    <mergeCell ref="A6:A13"/>
    <mergeCell ref="B2:B5"/>
    <mergeCell ref="B6:B13"/>
    <mergeCell ref="B15:B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A3A80-5E4B-4F58-A1AE-FA69ECA51EFC}">
  <dimension ref="A1:E7"/>
  <sheetViews>
    <sheetView workbookViewId="0">
      <selection activeCell="A29" sqref="A29"/>
    </sheetView>
  </sheetViews>
  <sheetFormatPr baseColWidth="10" defaultRowHeight="15" x14ac:dyDescent="0.25"/>
  <cols>
    <col min="1" max="1" width="21.5703125" bestFit="1" customWidth="1"/>
    <col min="2" max="2" width="21.42578125" customWidth="1"/>
    <col min="3" max="3" width="37.5703125" customWidth="1"/>
    <col min="4" max="4" width="38" customWidth="1"/>
    <col min="5" max="5" width="27.140625" bestFit="1" customWidth="1"/>
  </cols>
  <sheetData>
    <row r="1" spans="1:5" x14ac:dyDescent="0.25">
      <c r="A1" s="29" t="s">
        <v>42</v>
      </c>
      <c r="B1" s="30" t="s">
        <v>43</v>
      </c>
      <c r="C1" s="30" t="s">
        <v>44</v>
      </c>
      <c r="D1" s="30" t="s">
        <v>45</v>
      </c>
      <c r="E1" s="31" t="s">
        <v>46</v>
      </c>
    </row>
    <row r="2" spans="1:5" ht="57" x14ac:dyDescent="0.25">
      <c r="A2" s="4" t="s">
        <v>3</v>
      </c>
      <c r="B2" s="32" t="s">
        <v>47</v>
      </c>
      <c r="C2" s="32" t="s">
        <v>48</v>
      </c>
      <c r="D2" s="5" t="s">
        <v>49</v>
      </c>
      <c r="E2" s="33">
        <f>SUM('Categoria-Subcategoria'!E6:E13)</f>
        <v>28613</v>
      </c>
    </row>
    <row r="3" spans="1:5" ht="71.25" x14ac:dyDescent="0.25">
      <c r="A3" s="13" t="s">
        <v>50</v>
      </c>
      <c r="B3" s="34" t="s">
        <v>51</v>
      </c>
      <c r="C3" s="34" t="s">
        <v>52</v>
      </c>
      <c r="D3" s="14" t="s">
        <v>53</v>
      </c>
      <c r="E3" s="35">
        <f>SUM('Categoria-Subcategoria'!F6:F13)</f>
        <v>1546</v>
      </c>
    </row>
    <row r="4" spans="1:5" ht="28.5" x14ac:dyDescent="0.25">
      <c r="A4" s="4" t="s">
        <v>5</v>
      </c>
      <c r="B4" s="32" t="s">
        <v>54</v>
      </c>
      <c r="C4" s="32" t="s">
        <v>55</v>
      </c>
      <c r="D4" s="5" t="s">
        <v>56</v>
      </c>
      <c r="E4" s="33">
        <f>SUM('Categoria-Subcategoria'!G6:G13)</f>
        <v>83</v>
      </c>
    </row>
    <row r="5" spans="1:5" ht="65.25" customHeight="1" x14ac:dyDescent="0.25">
      <c r="A5" s="13" t="s">
        <v>6</v>
      </c>
      <c r="B5" s="34" t="s">
        <v>57</v>
      </c>
      <c r="C5" s="34" t="s">
        <v>58</v>
      </c>
      <c r="D5" s="14" t="s">
        <v>59</v>
      </c>
      <c r="E5" s="35">
        <f>SUM('Categoria-Subcategoria'!H6:H13)</f>
        <v>12</v>
      </c>
    </row>
    <row r="6" spans="1:5" ht="81.75" customHeight="1" x14ac:dyDescent="0.25">
      <c r="A6" s="4" t="s">
        <v>60</v>
      </c>
      <c r="B6" s="32" t="s">
        <v>61</v>
      </c>
      <c r="C6" s="32" t="s">
        <v>62</v>
      </c>
      <c r="D6" s="5" t="s">
        <v>63</v>
      </c>
      <c r="E6" s="36" t="s">
        <v>64</v>
      </c>
    </row>
    <row r="7" spans="1:5" ht="38.25" customHeight="1" thickBot="1" x14ac:dyDescent="0.3">
      <c r="A7" s="26" t="s">
        <v>65</v>
      </c>
      <c r="B7" s="37" t="s">
        <v>66</v>
      </c>
      <c r="C7" s="37" t="s">
        <v>67</v>
      </c>
      <c r="D7" s="18" t="s">
        <v>68</v>
      </c>
      <c r="E7" s="38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Categoria-Subcategoria</vt:lpstr>
      <vt:lpstr>Condicion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Galindo Cuevas</dc:creator>
  <cp:lastModifiedBy>Samuel Galindo Cuevas</cp:lastModifiedBy>
  <dcterms:created xsi:type="dcterms:W3CDTF">2026-09-13T22:59:35Z</dcterms:created>
  <dcterms:modified xsi:type="dcterms:W3CDTF">2026-09-23T18:40:48Z</dcterms:modified>
</cp:coreProperties>
</file>